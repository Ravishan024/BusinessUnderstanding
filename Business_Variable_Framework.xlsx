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Variable Framework" sheetId="2" state="visible" r:id="rId4"/>
    <sheet name="UltraTech Cement (Example)" sheetId="3" state="visible" r:id="rId5"/>
    <sheet name="Company 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<sst xmlns="http://schemas.openxmlformats.org/spreadsheetml/2006/main" count="396" uniqueCount="171">
  <si>
    <t xml:space="preserve">Business Variable Framework — Equity Research Base Tool</t>
  </si>
  <si>
    <t xml:space="preserve">PURPOSE</t>
  </si>
  <si>
    <t xml:space="preserve">This is the reusable base of a bigger equity-research tool. Before valuing any company, you first need to</t>
  </si>
  <si>
    <t xml:space="preserve">understand its business - what makes it work, and what could break it. This workbook is a checklist of the</t>
  </si>
  <si>
    <t xml:space="preserve">'variables' that matter for ANY company, applied here to UltraTech Cement as a worked example.</t>
  </si>
  <si>
    <t xml:space="preserve">HOW THE SHEETS FIT TOGETHER</t>
  </si>
  <si>
    <t xml:space="preserve">1. 'Variable Framework' - the master checklist. ~30 questions grouped into 7 categories (raw materials,</t>
  </si>
  <si>
    <t xml:space="preserve">   geography, regulation, customers, competition, cost structure, ownership/financials). This list is</t>
  </si>
  <si>
    <t xml:space="preserve">   sector-agnostic - reuse it for every company you research.</t>
  </si>
  <si>
    <t xml:space="preserve">2. 'UltraTech Cement (Example)' - the same checklist, filled in with real findings for UltraTech, plus a</t>
  </si>
  <si>
    <t xml:space="preserve">   Risk/Impact rating for each variable and a source. This is the template for how every future company</t>
  </si>
  <si>
    <t xml:space="preserve">   should be filled in.</t>
  </si>
  <si>
    <t xml:space="preserve">3. 'Company Comparison' - the same variables laid out with one column per company, so once you research a</t>
  </si>
  <si>
    <t xml:space="preserve">   second and third company (e.g. Ambuja Cement, Shree Cement) you can see them side by side.</t>
  </si>
  <si>
    <t xml:space="preserve">HOW TO ADD A NEW COMPANY</t>
  </si>
  <si>
    <t xml:space="preserve">- Duplicate the 'UltraTech Cement (Example)' sheet, rename it to the new company, and fill in the Finding /</t>
  </si>
  <si>
    <t xml:space="preserve">  Risk / Source columns.</t>
  </si>
  <si>
    <t xml:space="preserve">- Add a new column in 'Company Comparison' with that company's short answers.</t>
  </si>
  <si>
    <t xml:space="preserve">RISK / IMPACT RATING - what it means</t>
  </si>
  <si>
    <t xml:space="preserve">- High: this variable could meaningfully hurt the business if it goes wrong (e.g. losing captive limestone</t>
  </si>
  <si>
    <t xml:space="preserve">  mines, a coal price spike, a regional demand crash).</t>
  </si>
  <si>
    <t xml:space="preserve">- Medium: matters, but the company has some buffer or it's a slower-moving risk.</t>
  </si>
  <si>
    <t xml:space="preserve">- Low: unlikely to move the needle much, or the company is well insulated from it.</t>
  </si>
  <si>
    <t xml:space="preserve">- TBD: not yet researched - a gap to fill in next.</t>
  </si>
  <si>
    <t xml:space="preserve">NEXT STEPS</t>
  </si>
  <si>
    <t xml:space="preserve">- Research a second cement company (Ambuja/ACC or Shree Cement) using this same checklist.</t>
  </si>
  <si>
    <t xml:space="preserve">- Once 2-3 companies in a sector are done, move to Step 2 of the plan: industry-level analysis.</t>
  </si>
  <si>
    <t xml:space="preserve">#</t>
  </si>
  <si>
    <t xml:space="preserve">Category</t>
  </si>
  <si>
    <t xml:space="preserve">Variable</t>
  </si>
  <si>
    <t xml:space="preserve">Guiding Question</t>
  </si>
  <si>
    <t xml:space="preserve">Why It Matters</t>
  </si>
  <si>
    <t xml:space="preserve">Raw Material &amp; Input Sourcing</t>
  </si>
  <si>
    <t xml:space="preserve">Key inputs</t>
  </si>
  <si>
    <t xml:space="preserve">What raw materials/inputs does the company need to make its product?</t>
  </si>
  <si>
    <t xml:space="preserve">Defines the company's core cost base and supply chain.</t>
  </si>
  <si>
    <t xml:space="preserve">Source location</t>
  </si>
  <si>
    <t xml:space="preserve">Where are those inputs sourced from (which region/state/country)?</t>
  </si>
  <si>
    <t xml:space="preserve">A single-region source is a concentration risk - local disruption hits the whole company.</t>
  </si>
  <si>
    <t xml:space="preserve">Captive vs. open market</t>
  </si>
  <si>
    <t xml:space="preserve">Does the company own the source (captive mine/well/farm) or buy on the open market?</t>
  </si>
  <si>
    <t xml:space="preserve">Captive sourcing insulates from price spikes; open-market buyers are exposed to commodity cycles.</t>
  </si>
  <si>
    <t xml:space="preserve">Supplier concentration</t>
  </si>
  <si>
    <t xml:space="preserve">How many suppliers are there, and how much power do they have?</t>
  </si>
  <si>
    <t xml:space="preserve">Few powerful suppliers can squeeze margins or disrupt supply.</t>
  </si>
  <si>
    <t xml:space="preserve">Input price volatility</t>
  </si>
  <si>
    <t xml:space="preserve">Is the input price volatile / linked to a global commodity?</t>
  </si>
  <si>
    <t xml:space="preserve">Volatile inputs create earnings swings the company may or may not be able to pass on.</t>
  </si>
  <si>
    <t xml:space="preserve">Substitutability</t>
  </si>
  <si>
    <t xml:space="preserve">If supply is disrupted, are there substitutes or alternate sources?</t>
  </si>
  <si>
    <t xml:space="preserve">No substitute = higher risk from any single-source disruption.</t>
  </si>
  <si>
    <t xml:space="preserve">Geography &amp; Logistics</t>
  </si>
  <si>
    <t xml:space="preserve">Facility locations</t>
  </si>
  <si>
    <t xml:space="preserve">Where are the company's plants/offices/stores located?</t>
  </si>
  <si>
    <t xml:space="preserve">Determines proximity to both inputs and customers.</t>
  </si>
  <si>
    <t xml:space="preserve">Distance to market</t>
  </si>
  <si>
    <t xml:space="preserve">How far are facilities from key demand centers (the 'freight radius')?</t>
  </si>
  <si>
    <t xml:space="preserve">For heavy/bulky products, transport cost can exceed the profit margin beyond a certain distance.</t>
  </si>
  <si>
    <t xml:space="preserve">Logistics cost share</t>
  </si>
  <si>
    <t xml:space="preserve">What % of total cost is freight/transportation/logistics?</t>
  </si>
  <si>
    <t xml:space="preserve">High logistics share makes location a competitive advantage or disadvantage.</t>
  </si>
  <si>
    <t xml:space="preserve">Regional concentration risk</t>
  </si>
  <si>
    <t xml:space="preserve">Is revenue/production concentrated in one state/region?</t>
  </si>
  <si>
    <t xml:space="preserve">A local disruption (weather, unrest, policy change) can hit disproportionately.</t>
  </si>
  <si>
    <t xml:space="preserve">Regulatory &amp; Political</t>
  </si>
  <si>
    <t xml:space="preserve">Licenses &amp; permits</t>
  </si>
  <si>
    <t xml:space="preserve">What licenses/permits are required to operate (mining, environmental, etc.)?</t>
  </si>
  <si>
    <t xml:space="preserve">Licenses can be delayed, denied, or revoked - a direct operating risk.</t>
  </si>
  <si>
    <t xml:space="preserve">Regulating authority</t>
  </si>
  <si>
    <t xml:space="preserve">Which government bodies regulate the business - central, state, or both?</t>
  </si>
  <si>
    <t xml:space="preserve">State-level rules can vary a lot within one country and change with local politics.</t>
  </si>
  <si>
    <t xml:space="preserve">Regulatory disputes</t>
  </si>
  <si>
    <t xml:space="preserve">Any pending or historical regulatory/legal disputes?</t>
  </si>
  <si>
    <t xml:space="preserve">Ongoing disputes signal risk of fines, shutdowns, or reputational damage.</t>
  </si>
  <si>
    <t xml:space="preserve">Trade policy exposure</t>
  </si>
  <si>
    <t xml:space="preserve">Any import/export duties or restrictions on inputs or outputs?</t>
  </si>
  <si>
    <t xml:space="preserve">Tariff changes can swing costs or competitiveness overnight.</t>
  </si>
  <si>
    <t xml:space="preserve">Environmental/ESG exposure</t>
  </si>
  <si>
    <t xml:space="preserve">How exposed is the business to environmental regulation (emissions, waste, land use)?</t>
  </si>
  <si>
    <t xml:space="preserve">Tightening environmental rules can raise costs or restrict operations, especially in heavy industry.</t>
  </si>
  <si>
    <t xml:space="preserve">Customers &amp; Demand</t>
  </si>
  <si>
    <t xml:space="preserve">Customer type</t>
  </si>
  <si>
    <t xml:space="preserve">Who buys the product - other businesses (B2B), consumers (B2C), or government?</t>
  </si>
  <si>
    <t xml:space="preserve">Different buyer types have very different bargaining power and payment behavior.</t>
  </si>
  <si>
    <t xml:space="preserve">Customer concentration</t>
  </si>
  <si>
    <t xml:space="preserve">Are sales concentrated among a few large customers, or spread across many small ones?</t>
  </si>
  <si>
    <t xml:space="preserve">Few large customers = they can dictate price/terms; many small customers = pricing power stays with the seller.</t>
  </si>
  <si>
    <t xml:space="preserve">Demand driver</t>
  </si>
  <si>
    <t xml:space="preserve">What macro factor drives demand (GDP growth, consumer spending, construction activity, etc.)?</t>
  </si>
  <si>
    <t xml:space="preserve">Tells you what to watch to predict the company's demand before it shows up in results.</t>
  </si>
  <si>
    <t xml:space="preserve">Cyclicality/seasonality</t>
  </si>
  <si>
    <t xml:space="preserve">Is demand cyclical (tied to economic cycles) or seasonal (tied to time of year)?</t>
  </si>
  <si>
    <t xml:space="preserve">Affects how to read quarter-to-quarter swings and time an investment.</t>
  </si>
  <si>
    <t xml:space="preserve">Competition &amp; Market Structure</t>
  </si>
  <si>
    <t xml:space="preserve">Market concentration</t>
  </si>
  <si>
    <t xml:space="preserve">How many real competitors are there, and how much market share do the top few hold?</t>
  </si>
  <si>
    <t xml:space="preserve">Fragmented markets = price competition; concentrated markets = more pricing discipline.</t>
  </si>
  <si>
    <t xml:space="preserve">Competitive arena</t>
  </si>
  <si>
    <t xml:space="preserve">Is competition local/regional, national, or global?</t>
  </si>
  <si>
    <t xml:space="preserve">Determines who the company is really fighting for customers against.</t>
  </si>
  <si>
    <t xml:space="preserve">Barriers to entry</t>
  </si>
  <si>
    <t xml:space="preserve">What stops a new competitor from entering (capital needs, regulation, brand, patents)?</t>
  </si>
  <si>
    <t xml:space="preserve">High barriers protect margins over the long run; low barriers invite new competition.</t>
  </si>
  <si>
    <t xml:space="preserve">Pricing power</t>
  </si>
  <si>
    <t xml:space="preserve">Can the company raise prices without losing significant volume?</t>
  </si>
  <si>
    <t xml:space="preserve">Pricing power is one of the strongest signs of a durable, high-quality business.</t>
  </si>
  <si>
    <t xml:space="preserve">Cost Structure &amp; Capital Intensity</t>
  </si>
  <si>
    <t xml:space="preserve">Fixed vs. variable costs</t>
  </si>
  <si>
    <t xml:space="preserve">What's the mix of fixed costs (rent, plant) vs. variable costs (materials, per-unit labor)?</t>
  </si>
  <si>
    <t xml:space="preserve">High fixed costs mean profits swing a lot with volume (operating leverage).</t>
  </si>
  <si>
    <t xml:space="preserve">Capital intensity</t>
  </si>
  <si>
    <t xml:space="preserve">How much capital does it take to build new capacity or enter the business?</t>
  </si>
  <si>
    <t xml:space="preserve">Capital-heavy businesses are slower to expand and harder for new entrants to copy.</t>
  </si>
  <si>
    <t xml:space="preserve">Returns trend</t>
  </si>
  <si>
    <t xml:space="preserve">Are returns on new investment/capacity rising or falling over time?</t>
  </si>
  <si>
    <t xml:space="preserve">Falling returns on new capacity is an early warning sign for the whole industry's profitability.</t>
  </si>
  <si>
    <t xml:space="preserve">Ownership &amp; Financials</t>
  </si>
  <si>
    <t xml:space="preserve">Ownership structure</t>
  </si>
  <si>
    <t xml:space="preserve">Who owns/controls the company (founder/promoter group, government, widely-held public)?</t>
  </si>
  <si>
    <t xml:space="preserve">Ownership shapes incentives, capital allocation discipline, and related-party risk.</t>
  </si>
  <si>
    <t xml:space="preserve">Financial leverage</t>
  </si>
  <si>
    <t xml:space="preserve">How much debt does the company carry relative to its earnings?</t>
  </si>
  <si>
    <t xml:space="preserve">High leverage amplifies both upside and downside, and raises bankruptcy risk in downturns.</t>
  </si>
  <si>
    <t xml:space="preserve">Currency exposure</t>
  </si>
  <si>
    <t xml:space="preserve">Does the company import inputs, export output, or operate abroad in foreign currency?</t>
  </si>
  <si>
    <t xml:space="preserve">Currency swings can move costs or revenue even when the underlying business is unchanged.</t>
  </si>
  <si>
    <t xml:space="preserve">Finding</t>
  </si>
  <si>
    <t xml:space="preserve">Risk / Impact</t>
  </si>
  <si>
    <t xml:space="preserve">Source</t>
  </si>
  <si>
    <t xml:space="preserve">Limestone, clay, silica, gypsum (raw materials) + coal/petcoke (kiln fuel) + power.</t>
  </si>
  <si>
    <t xml:space="preserve">Medium</t>
  </si>
  <si>
    <t xml:space="preserve">Safal Niveshak - Cement Industry Analysis</t>
  </si>
  <si>
    <t xml:space="preserve">Raw materials sourced near plant sites across India (e.g. Chhattisgarh limestone); coal from domestic linkages plus some imports.</t>
  </si>
  <si>
    <t xml:space="preserve">Zerodha Varsity - Cement Industry Analysis</t>
  </si>
  <si>
    <t xml:space="preserve">UltraTech owns captive limestone quarries (plants built near them) and holds captive coal mine linkages - a real cost advantage vs. smaller players who buy coal/petcoke on the open market.</t>
  </si>
  <si>
    <t xml:space="preserve">Low</t>
  </si>
  <si>
    <t xml:space="preserve">Largely self-supplied for limestone via captive mines; coal linkage plus market purchases reduce single-supplier dependence, though global coal/petcoke prices still matter.</t>
  </si>
  <si>
    <t xml:space="preserve">Coal/petcoke prices are volatile and are the single biggest swing factor in cement costs (~160kg coal per tonne of cement).</t>
  </si>
  <si>
    <t xml:space="preserve">High</t>
  </si>
  <si>
    <t xml:space="preserve">Limited fuel substitutes at scale, though UltraTech is investing in waste heat recovery and renewables to cover 25-30% of energy needs, reducing fossil fuel dependence over time.</t>
  </si>
  <si>
    <t xml:space="preserve">200+ MTPA grey cement capacity across India, plus operations in UAE, Bahrain, Sri Lanka; 465 RMC plants across 167 cities.</t>
  </si>
  <si>
    <t xml:space="preserve">The Strategy Story - UltraTech Business Model 2026</t>
  </si>
  <si>
    <t xml:space="preserve">Cement plants typically serve customers within a 150-300 km radius due to transport economics; UltraTech's scale gives it wide geographic coverage (90%+ of India's talukas).</t>
  </si>
  <si>
    <t xml:space="preserve">Freight/transportation is roughly 20-25% of sales industry-wide - often bigger than net profit margin - making plant location and distribution network critical.</t>
  </si>
  <si>
    <t xml:space="preserve">Diversified nationally with plants across regions rather than concentrated in one state, which reduces (but doesn't eliminate) local disruption risk.</t>
  </si>
  <si>
    <t xml:space="preserve">Requires mining leases (limestone), environmental clearances, and coal linkage allocations; large scale means constant renewal/compliance activity.</t>
  </si>
  <si>
    <t xml:space="preserve">Both central (environment, coal allocation) and state (mining leases, land) government bodies regulate operations - multiplies the points of regulatory risk.</t>
  </si>
  <si>
    <t xml:space="preserve">Not yet researched</t>
  </si>
  <si>
    <t xml:space="preserve">Not yet researched - check for any pending mining/environmental litigation or local community disputes (e.g. reported concerns around Chhattisgarh mining operations).</t>
  </si>
  <si>
    <t xml:space="preserve">TBD</t>
  </si>
  <si>
    <t xml:space="preserve">Some coal is imported, so import duties/global coal prices matter; core cement business is domestic-demand driven with limited export exposure.</t>
  </si>
  <si>
    <t xml:space="preserve">Cement manufacturing is carbon- and energy-intensive; stricter emissions norms are a probable future cost driver. UltraTech is investing in renewables/waste heat recovery partly to get ahead of this.</t>
  </si>
  <si>
    <t xml:space="preserve">Mix of B2B (contractors, builders, infrastructure projects) and B2C (individual home-builders via dealer network), plus a growing 'Building Solutions' retail channel.</t>
  </si>
  <si>
    <t xml:space="preserve">Very fragmented - 1.5+ lakh channel partners and ~30,000 delivery destinations - so no single customer has meaningful bargaining power.</t>
  </si>
  <si>
    <t xml:space="preserve">Housing, infrastructure, and industrial construction activity; demand tracks GDP growth at roughly 1.2x.</t>
  </si>
  <si>
    <t xml:space="preserve">Cyclical with the broader economy/construction activity, plus a seasonal dip during the monsoon.</t>
  </si>
  <si>
    <t xml:space="preserve">Consolidated: top 3-4 players (UltraTech, Ambuja/ACC, Shree Cement, Dalmia Bharat) hold roughly a third of industry capacity; UltraTech itself is the largest.</t>
  </si>
  <si>
    <t xml:space="preserve">Fundamentally regional/local due to freight economics, even though UltraTech competes nationally in aggregate.</t>
  </si>
  <si>
    <t xml:space="preserve">High - cement plants are extremely capital-intensive and require mining rights and environmental clearances, which naturally limits new entrants.</t>
  </si>
  <si>
    <t xml:space="preserve">Limited industry-wide - transparent local pricing tends to trigger price wars when capacity utilization is low; competition instead focuses on cost efficiency, distribution reach, and brand/product mix.</t>
  </si>
  <si>
    <t xml:space="preserve">Heavy fixed-cost base (plants, mining leases) combined with variable fuel/power costs - meaning capacity utilization strongly drives per-unit profitability.</t>
  </si>
  <si>
    <t xml:space="preserve">Very high - new capacity costs roughly Rs 7,200/tonne (2013 figure, higher today); UltraTech is investing ~Rs 16,000 crore to expand to 242.5 MTPA by FY2027-28.</t>
  </si>
  <si>
    <t xml:space="preserve">Industry-wide, returns on new cement capacity have fallen over time (IRR ~17% in 2008 to ~9% in 2013) - a red flag to monitor for future capacity additions.</t>
  </si>
  <si>
    <t xml:space="preserve">Part of the Aditya Birla Group - a large, established Indian promoter conglomerate, not government-owned or widely dispersed.</t>
  </si>
  <si>
    <t xml:space="preserve">Not yet researched - need to pull debt/EBITDA or debt/equity from the balance sheet.</t>
  </si>
  <si>
    <t xml:space="preserve">Mostly domestic (India) revenue; some FX exposure via international operations (UAE, Bahrain, Sri Lanka) and imported coal.</t>
  </si>
  <si>
    <t xml:space="preserve">Risk Summary:</t>
  </si>
  <si>
    <t xml:space="preserve">TBD (research gaps)</t>
  </si>
  <si>
    <t xml:space="preserve">UltraTech Cement</t>
  </si>
  <si>
    <t xml:space="preserve">Ambuja Cement / ACC</t>
  </si>
  <si>
    <t xml:space="preserve">Shree Cement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</si>
</sst>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FFEB84"/>
        <bgColor rgb="FFFFCC99"/>
      </patternFill>
    </fill>
    <fill>
      <patternFill patternType="solid">
        <fgColor rgb="FF63BE7B"/>
        <bgColor rgb="FF339966"/>
      </patternFill>
    </fill>
    <fill>
      <patternFill patternType="solid">
        <fgColor rgb="FFF8696B"/>
        <bgColor rgb="FFFF6600"/>
      </patternFill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5" min="4" style="0" width="46"/>
  </cols>
  <sheetData>
    <row r="1" customFormat="false" ht="19.5" hidden="false" customHeight="true" outlineLevel="0" collapsed="false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</row>
    <row r="2" customFormat="false" ht="23.85" hidden="false" customHeight="false" outlineLevel="0" collapsed="false">
      <c r="A2" s="5" t="n">
        <v>1</v>
      </c>
      <c r="B2" s="5" t="s">
        <v>32</v>
      </c>
      <c r="C2" s="6" t="s">
        <v>33</v>
      </c>
      <c r="D2" s="5" t="s">
        <v>34</v>
      </c>
      <c r="E2" s="5" t="s">
        <v>35</v>
      </c>
    </row>
    <row r="3" customFormat="false" ht="23.85" hidden="false" customHeight="false" outlineLevel="0" collapsed="false">
      <c r="A3" s="5" t="n">
        <v>2</v>
      </c>
      <c r="B3" s="5" t="s">
        <v>32</v>
      </c>
      <c r="C3" s="6" t="s">
        <v>36</v>
      </c>
      <c r="D3" s="5" t="s">
        <v>37</v>
      </c>
      <c r="E3" s="5" t="s">
        <v>38</v>
      </c>
    </row>
    <row r="4" customFormat="false" ht="23.85" hidden="false" customHeight="false" outlineLevel="0" collapsed="false">
      <c r="A4" s="5" t="n">
        <v>3</v>
      </c>
      <c r="B4" s="5" t="s">
        <v>32</v>
      </c>
      <c r="C4" s="6" t="s">
        <v>39</v>
      </c>
      <c r="D4" s="5" t="s">
        <v>40</v>
      </c>
      <c r="E4" s="5" t="s">
        <v>41</v>
      </c>
    </row>
    <row r="5" customFormat="false" ht="23.85" hidden="false" customHeight="false" outlineLevel="0" collapsed="false">
      <c r="A5" s="5" t="n">
        <v>4</v>
      </c>
      <c r="B5" s="5" t="s">
        <v>32</v>
      </c>
      <c r="C5" s="6" t="s">
        <v>42</v>
      </c>
      <c r="D5" s="5" t="s">
        <v>43</v>
      </c>
      <c r="E5" s="5" t="s">
        <v>44</v>
      </c>
    </row>
    <row r="6" customFormat="false" ht="23.85" hidden="false" customHeight="false" outlineLevel="0" collapsed="false">
      <c r="A6" s="5" t="n">
        <v>5</v>
      </c>
      <c r="B6" s="5" t="s">
        <v>32</v>
      </c>
      <c r="C6" s="6" t="s">
        <v>45</v>
      </c>
      <c r="D6" s="5" t="s">
        <v>46</v>
      </c>
      <c r="E6" s="5" t="s">
        <v>47</v>
      </c>
    </row>
    <row r="7" customFormat="false" ht="23.85" hidden="false" customHeight="false" outlineLevel="0" collapsed="false">
      <c r="A7" s="5" t="n">
        <v>6</v>
      </c>
      <c r="B7" s="5" t="s">
        <v>32</v>
      </c>
      <c r="C7" s="6" t="s">
        <v>48</v>
      </c>
      <c r="D7" s="5" t="s">
        <v>49</v>
      </c>
      <c r="E7" s="5" t="s">
        <v>50</v>
      </c>
    </row>
    <row r="8" customFormat="false" ht="15" hidden="false" customHeight="false" outlineLevel="0" collapsed="false">
      <c r="A8" s="5" t="n">
        <v>7</v>
      </c>
      <c r="B8" s="5" t="s">
        <v>51</v>
      </c>
      <c r="C8" s="6" t="s">
        <v>52</v>
      </c>
      <c r="D8" s="5" t="s">
        <v>53</v>
      </c>
      <c r="E8" s="5" t="s">
        <v>54</v>
      </c>
    </row>
    <row r="9" customFormat="false" ht="23.85" hidden="false" customHeight="false" outlineLevel="0" collapsed="false">
      <c r="A9" s="5" t="n">
        <v>8</v>
      </c>
      <c r="B9" s="5" t="s">
        <v>51</v>
      </c>
      <c r="C9" s="6" t="s">
        <v>55</v>
      </c>
      <c r="D9" s="5" t="s">
        <v>56</v>
      </c>
      <c r="E9" s="5" t="s">
        <v>57</v>
      </c>
    </row>
    <row r="10" customFormat="false" ht="23.85" hidden="false" customHeight="false" outlineLevel="0" collapsed="false">
      <c r="A10" s="5" t="n">
        <v>9</v>
      </c>
      <c r="B10" s="5" t="s">
        <v>51</v>
      </c>
      <c r="C10" s="6" t="s">
        <v>58</v>
      </c>
      <c r="D10" s="5" t="s">
        <v>59</v>
      </c>
      <c r="E10" s="5" t="s">
        <v>60</v>
      </c>
    </row>
    <row r="11" customFormat="false" ht="23.85" hidden="false" customHeight="false" outlineLevel="0" collapsed="false">
      <c r="A11" s="5" t="n">
        <v>10</v>
      </c>
      <c r="B11" s="5" t="s">
        <v>51</v>
      </c>
      <c r="C11" s="6" t="s">
        <v>61</v>
      </c>
      <c r="D11" s="5" t="s">
        <v>62</v>
      </c>
      <c r="E11" s="5" t="s">
        <v>63</v>
      </c>
    </row>
    <row r="12" customFormat="false" ht="23.85" hidden="false" customHeight="false" outlineLevel="0" collapsed="false">
      <c r="A12" s="5" t="n">
        <v>11</v>
      </c>
      <c r="B12" s="5" t="s">
        <v>64</v>
      </c>
      <c r="C12" s="6" t="s">
        <v>65</v>
      </c>
      <c r="D12" s="5" t="s">
        <v>66</v>
      </c>
      <c r="E12" s="5" t="s">
        <v>67</v>
      </c>
    </row>
    <row r="13" customFormat="false" ht="23.85" hidden="false" customHeight="false" outlineLevel="0" collapsed="false">
      <c r="A13" s="5" t="n">
        <v>12</v>
      </c>
      <c r="B13" s="5" t="s">
        <v>64</v>
      </c>
      <c r="C13" s="6" t="s">
        <v>68</v>
      </c>
      <c r="D13" s="5" t="s">
        <v>69</v>
      </c>
      <c r="E13" s="5" t="s">
        <v>70</v>
      </c>
    </row>
    <row r="14" customFormat="false" ht="23.85" hidden="false" customHeight="false" outlineLevel="0" collapsed="false">
      <c r="A14" s="5" t="n">
        <v>13</v>
      </c>
      <c r="B14" s="5" t="s">
        <v>64</v>
      </c>
      <c r="C14" s="6" t="s">
        <v>71</v>
      </c>
      <c r="D14" s="5" t="s">
        <v>72</v>
      </c>
      <c r="E14" s="5" t="s">
        <v>73</v>
      </c>
    </row>
    <row r="15" customFormat="false" ht="23.85" hidden="false" customHeight="false" outlineLevel="0" collapsed="false">
      <c r="A15" s="5" t="n">
        <v>14</v>
      </c>
      <c r="B15" s="5" t="s">
        <v>64</v>
      </c>
      <c r="C15" s="6" t="s">
        <v>74</v>
      </c>
      <c r="D15" s="5" t="s">
        <v>75</v>
      </c>
      <c r="E15" s="5" t="s">
        <v>76</v>
      </c>
    </row>
    <row r="16" customFormat="false" ht="23.85" hidden="false" customHeight="false" outlineLevel="0" collapsed="false">
      <c r="A16" s="5" t="n">
        <v>15</v>
      </c>
      <c r="B16" s="5" t="s">
        <v>64</v>
      </c>
      <c r="C16" s="6" t="s">
        <v>77</v>
      </c>
      <c r="D16" s="5" t="s">
        <v>78</v>
      </c>
      <c r="E16" s="5" t="s">
        <v>79</v>
      </c>
    </row>
    <row r="17" customFormat="false" ht="23.85" hidden="false" customHeight="false" outlineLevel="0" collapsed="false">
      <c r="A17" s="5" t="n">
        <v>16</v>
      </c>
      <c r="B17" s="5" t="s">
        <v>80</v>
      </c>
      <c r="C17" s="6" t="s">
        <v>81</v>
      </c>
      <c r="D17" s="5" t="s">
        <v>82</v>
      </c>
      <c r="E17" s="5" t="s">
        <v>83</v>
      </c>
    </row>
    <row r="18" customFormat="false" ht="35.05" hidden="false" customHeight="false" outlineLevel="0" collapsed="false">
      <c r="A18" s="5" t="n">
        <v>17</v>
      </c>
      <c r="B18" s="5" t="s">
        <v>80</v>
      </c>
      <c r="C18" s="6" t="s">
        <v>84</v>
      </c>
      <c r="D18" s="5" t="s">
        <v>85</v>
      </c>
      <c r="E18" s="5" t="s">
        <v>86</v>
      </c>
    </row>
    <row r="19" customFormat="false" ht="23.85" hidden="false" customHeight="false" outlineLevel="0" collapsed="false">
      <c r="A19" s="5" t="n">
        <v>18</v>
      </c>
      <c r="B19" s="5" t="s">
        <v>80</v>
      </c>
      <c r="C19" s="6" t="s">
        <v>87</v>
      </c>
      <c r="D19" s="5" t="s">
        <v>88</v>
      </c>
      <c r="E19" s="5" t="s">
        <v>89</v>
      </c>
    </row>
    <row r="20" customFormat="false" ht="23.85" hidden="false" customHeight="false" outlineLevel="0" collapsed="false">
      <c r="A20" s="5" t="n">
        <v>19</v>
      </c>
      <c r="B20" s="5" t="s">
        <v>80</v>
      </c>
      <c r="C20" s="6" t="s">
        <v>90</v>
      </c>
      <c r="D20" s="5" t="s">
        <v>91</v>
      </c>
      <c r="E20" s="5" t="s">
        <v>92</v>
      </c>
    </row>
    <row r="21" customFormat="false" ht="23.85" hidden="false" customHeight="false" outlineLevel="0" collapsed="false">
      <c r="A21" s="5" t="n">
        <v>20</v>
      </c>
      <c r="B21" s="5" t="s">
        <v>93</v>
      </c>
      <c r="C21" s="6" t="s">
        <v>94</v>
      </c>
      <c r="D21" s="5" t="s">
        <v>95</v>
      </c>
      <c r="E21" s="5" t="s">
        <v>96</v>
      </c>
    </row>
    <row r="22" customFormat="false" ht="23.85" hidden="false" customHeight="false" outlineLevel="0" collapsed="false">
      <c r="A22" s="5" t="n">
        <v>21</v>
      </c>
      <c r="B22" s="5" t="s">
        <v>93</v>
      </c>
      <c r="C22" s="6" t="s">
        <v>97</v>
      </c>
      <c r="D22" s="5" t="s">
        <v>98</v>
      </c>
      <c r="E22" s="5" t="s">
        <v>99</v>
      </c>
    </row>
    <row r="23" customFormat="false" ht="23.85" hidden="false" customHeight="false" outlineLevel="0" collapsed="false">
      <c r="A23" s="5" t="n">
        <v>22</v>
      </c>
      <c r="B23" s="5" t="s">
        <v>93</v>
      </c>
      <c r="C23" s="6" t="s">
        <v>100</v>
      </c>
      <c r="D23" s="5" t="s">
        <v>101</v>
      </c>
      <c r="E23" s="5" t="s">
        <v>102</v>
      </c>
    </row>
    <row r="24" customFormat="false" ht="23.85" hidden="false" customHeight="false" outlineLevel="0" collapsed="false">
      <c r="A24" s="5" t="n">
        <v>23</v>
      </c>
      <c r="B24" s="5" t="s">
        <v>93</v>
      </c>
      <c r="C24" s="6" t="s">
        <v>103</v>
      </c>
      <c r="D24" s="5" t="s">
        <v>104</v>
      </c>
      <c r="E24" s="5" t="s">
        <v>105</v>
      </c>
    </row>
    <row r="25" customFormat="false" ht="23.85" hidden="false" customHeight="false" outlineLevel="0" collapsed="false">
      <c r="A25" s="5" t="n">
        <v>24</v>
      </c>
      <c r="B25" s="5" t="s">
        <v>106</v>
      </c>
      <c r="C25" s="6" t="s">
        <v>107</v>
      </c>
      <c r="D25" s="5" t="s">
        <v>108</v>
      </c>
      <c r="E25" s="5" t="s">
        <v>109</v>
      </c>
    </row>
    <row r="26" customFormat="false" ht="23.85" hidden="false" customHeight="false" outlineLevel="0" collapsed="false">
      <c r="A26" s="5" t="n">
        <v>25</v>
      </c>
      <c r="B26" s="5" t="s">
        <v>106</v>
      </c>
      <c r="C26" s="6" t="s">
        <v>110</v>
      </c>
      <c r="D26" s="5" t="s">
        <v>111</v>
      </c>
      <c r="E26" s="5" t="s">
        <v>112</v>
      </c>
    </row>
    <row r="27" customFormat="false" ht="23.85" hidden="false" customHeight="false" outlineLevel="0" collapsed="false">
      <c r="A27" s="5" t="n">
        <v>26</v>
      </c>
      <c r="B27" s="5" t="s">
        <v>106</v>
      </c>
      <c r="C27" s="6" t="s">
        <v>113</v>
      </c>
      <c r="D27" s="5" t="s">
        <v>114</v>
      </c>
      <c r="E27" s="5" t="s">
        <v>115</v>
      </c>
    </row>
    <row r="28" customFormat="false" ht="23.85" hidden="false" customHeight="false" outlineLevel="0" collapsed="false">
      <c r="A28" s="5" t="n">
        <v>27</v>
      </c>
      <c r="B28" s="5" t="s">
        <v>116</v>
      </c>
      <c r="C28" s="6" t="s">
        <v>117</v>
      </c>
      <c r="D28" s="5" t="s">
        <v>118</v>
      </c>
      <c r="E28" s="5" t="s">
        <v>119</v>
      </c>
    </row>
    <row r="29" customFormat="false" ht="23.85" hidden="false" customHeight="false" outlineLevel="0" collapsed="false">
      <c r="A29" s="5" t="n">
        <v>28</v>
      </c>
      <c r="B29" s="5" t="s">
        <v>116</v>
      </c>
      <c r="C29" s="6" t="s">
        <v>120</v>
      </c>
      <c r="D29" s="5" t="s">
        <v>121</v>
      </c>
      <c r="E29" s="5" t="s">
        <v>122</v>
      </c>
    </row>
    <row r="30" customFormat="false" ht="23.85" hidden="false" customHeight="false" outlineLevel="0" collapsed="false">
      <c r="A30" s="5" t="n">
        <v>29</v>
      </c>
      <c r="B30" s="5" t="s">
        <v>116</v>
      </c>
      <c r="C30" s="6" t="s">
        <v>123</v>
      </c>
      <c r="D30" s="5" t="s">
        <v>124</v>
      </c>
      <c r="E30" s="5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58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19.5" hidden="false" customHeight="true" outlineLevel="0" collapsed="false">
      <c r="A1" s="4" t="s">
        <v>27</v>
      </c>
      <c r="B1" s="4" t="s">
        <v>28</v>
      </c>
      <c r="C1" s="4" t="s">
        <v>29</v>
      </c>
      <c r="D1" s="4" t="s">
        <v>126</v>
      </c>
      <c r="E1" s="4" t="s">
        <v>127</v>
      </c>
      <c r="F1" s="4" t="s">
        <v>128</v>
      </c>
    </row>
    <row r="2" customFormat="false" ht="23.85" hidden="false" customHeight="false" outlineLevel="0" collapsed="false">
      <c r="A2" s="5" t="n">
        <v>1</v>
      </c>
      <c r="B2" s="5" t="s">
        <v>32</v>
      </c>
      <c r="C2" s="6" t="s">
        <v>33</v>
      </c>
      <c r="D2" s="5" t="s">
        <v>129</v>
      </c>
      <c r="E2" s="7" t="s">
        <v>130</v>
      </c>
      <c r="F2" s="5" t="s">
        <v>131</v>
      </c>
    </row>
    <row r="3" customFormat="false" ht="23.85" hidden="false" customHeight="false" outlineLevel="0" collapsed="false">
      <c r="A3" s="5" t="n">
        <v>2</v>
      </c>
      <c r="B3" s="5" t="s">
        <v>32</v>
      </c>
      <c r="C3" s="6" t="s">
        <v>36</v>
      </c>
      <c r="D3" s="5" t="s">
        <v>132</v>
      </c>
      <c r="E3" s="7" t="s">
        <v>130</v>
      </c>
      <c r="F3" s="5" t="s">
        <v>133</v>
      </c>
    </row>
    <row r="4" customFormat="false" ht="35.05" hidden="false" customHeight="false" outlineLevel="0" collapsed="false">
      <c r="A4" s="5" t="n">
        <v>3</v>
      </c>
      <c r="B4" s="5" t="s">
        <v>32</v>
      </c>
      <c r="C4" s="6" t="s">
        <v>39</v>
      </c>
      <c r="D4" s="5" t="s">
        <v>134</v>
      </c>
      <c r="E4" s="8" t="s">
        <v>135</v>
      </c>
      <c r="F4" s="5" t="s">
        <v>133</v>
      </c>
    </row>
    <row r="5" customFormat="false" ht="35.05" hidden="false" customHeight="false" outlineLevel="0" collapsed="false">
      <c r="A5" s="5" t="n">
        <v>4</v>
      </c>
      <c r="B5" s="5" t="s">
        <v>32</v>
      </c>
      <c r="C5" s="6" t="s">
        <v>42</v>
      </c>
      <c r="D5" s="5" t="s">
        <v>136</v>
      </c>
      <c r="E5" s="7" t="s">
        <v>130</v>
      </c>
      <c r="F5" s="5" t="s">
        <v>133</v>
      </c>
    </row>
    <row r="6" customFormat="false" ht="23.85" hidden="false" customHeight="false" outlineLevel="0" collapsed="false">
      <c r="A6" s="5" t="n">
        <v>5</v>
      </c>
      <c r="B6" s="5" t="s">
        <v>32</v>
      </c>
      <c r="C6" s="6" t="s">
        <v>45</v>
      </c>
      <c r="D6" s="5" t="s">
        <v>137</v>
      </c>
      <c r="E6" s="9" t="s">
        <v>138</v>
      </c>
      <c r="F6" s="5" t="s">
        <v>131</v>
      </c>
    </row>
    <row r="7" customFormat="false" ht="35.05" hidden="false" customHeight="false" outlineLevel="0" collapsed="false">
      <c r="A7" s="5" t="n">
        <v>6</v>
      </c>
      <c r="B7" s="5" t="s">
        <v>32</v>
      </c>
      <c r="C7" s="6" t="s">
        <v>48</v>
      </c>
      <c r="D7" s="5" t="s">
        <v>139</v>
      </c>
      <c r="E7" s="7" t="s">
        <v>130</v>
      </c>
      <c r="F7" s="5" t="s">
        <v>133</v>
      </c>
    </row>
    <row r="8" customFormat="false" ht="23.85" hidden="false" customHeight="false" outlineLevel="0" collapsed="false">
      <c r="A8" s="5" t="n">
        <v>7</v>
      </c>
      <c r="B8" s="5" t="s">
        <v>51</v>
      </c>
      <c r="C8" s="6" t="s">
        <v>52</v>
      </c>
      <c r="D8" s="5" t="s">
        <v>140</v>
      </c>
      <c r="E8" s="8" t="s">
        <v>135</v>
      </c>
      <c r="F8" s="5" t="s">
        <v>141</v>
      </c>
    </row>
    <row r="9" customFormat="false" ht="35.05" hidden="false" customHeight="false" outlineLevel="0" collapsed="false">
      <c r="A9" s="5" t="n">
        <v>8</v>
      </c>
      <c r="B9" s="5" t="s">
        <v>51</v>
      </c>
      <c r="C9" s="6" t="s">
        <v>55</v>
      </c>
      <c r="D9" s="5" t="s">
        <v>142</v>
      </c>
      <c r="E9" s="7" t="s">
        <v>130</v>
      </c>
      <c r="F9" s="5" t="s">
        <v>131</v>
      </c>
    </row>
    <row r="10" customFormat="false" ht="35.05" hidden="false" customHeight="false" outlineLevel="0" collapsed="false">
      <c r="A10" s="5" t="n">
        <v>9</v>
      </c>
      <c r="B10" s="5" t="s">
        <v>51</v>
      </c>
      <c r="C10" s="6" t="s">
        <v>58</v>
      </c>
      <c r="D10" s="5" t="s">
        <v>143</v>
      </c>
      <c r="E10" s="9" t="s">
        <v>138</v>
      </c>
      <c r="F10" s="5" t="s">
        <v>131</v>
      </c>
    </row>
    <row r="11" customFormat="false" ht="35.05" hidden="false" customHeight="false" outlineLevel="0" collapsed="false">
      <c r="A11" s="5" t="n">
        <v>10</v>
      </c>
      <c r="B11" s="5" t="s">
        <v>51</v>
      </c>
      <c r="C11" s="6" t="s">
        <v>61</v>
      </c>
      <c r="D11" s="5" t="s">
        <v>144</v>
      </c>
      <c r="E11" s="8" t="s">
        <v>135</v>
      </c>
      <c r="F11" s="5" t="s">
        <v>141</v>
      </c>
    </row>
    <row r="12" customFormat="false" ht="35.05" hidden="false" customHeight="false" outlineLevel="0" collapsed="false">
      <c r="A12" s="5" t="n">
        <v>11</v>
      </c>
      <c r="B12" s="5" t="s">
        <v>64</v>
      </c>
      <c r="C12" s="6" t="s">
        <v>65</v>
      </c>
      <c r="D12" s="5" t="s">
        <v>145</v>
      </c>
      <c r="E12" s="7" t="s">
        <v>130</v>
      </c>
      <c r="F12" s="5" t="s">
        <v>133</v>
      </c>
    </row>
    <row r="13" customFormat="false" ht="35.05" hidden="false" customHeight="false" outlineLevel="0" collapsed="false">
      <c r="A13" s="5" t="n">
        <v>12</v>
      </c>
      <c r="B13" s="5" t="s">
        <v>64</v>
      </c>
      <c r="C13" s="6" t="s">
        <v>68</v>
      </c>
      <c r="D13" s="5" t="s">
        <v>146</v>
      </c>
      <c r="E13" s="7" t="s">
        <v>130</v>
      </c>
      <c r="F13" s="5" t="s">
        <v>147</v>
      </c>
    </row>
    <row r="14" customFormat="false" ht="35.05" hidden="false" customHeight="false" outlineLevel="0" collapsed="false">
      <c r="A14" s="5" t="n">
        <v>13</v>
      </c>
      <c r="B14" s="5" t="s">
        <v>64</v>
      </c>
      <c r="C14" s="6" t="s">
        <v>71</v>
      </c>
      <c r="D14" s="5" t="s">
        <v>148</v>
      </c>
      <c r="E14" s="10" t="s">
        <v>149</v>
      </c>
      <c r="F14" s="5" t="s">
        <v>147</v>
      </c>
    </row>
    <row r="15" customFormat="false" ht="35.05" hidden="false" customHeight="false" outlineLevel="0" collapsed="false">
      <c r="A15" s="5" t="n">
        <v>14</v>
      </c>
      <c r="B15" s="5" t="s">
        <v>64</v>
      </c>
      <c r="C15" s="6" t="s">
        <v>74</v>
      </c>
      <c r="D15" s="5" t="s">
        <v>150</v>
      </c>
      <c r="E15" s="7" t="s">
        <v>130</v>
      </c>
      <c r="F15" s="5" t="s">
        <v>147</v>
      </c>
    </row>
    <row r="16" customFormat="false" ht="35.05" hidden="false" customHeight="false" outlineLevel="0" collapsed="false">
      <c r="A16" s="5" t="n">
        <v>15</v>
      </c>
      <c r="B16" s="5" t="s">
        <v>64</v>
      </c>
      <c r="C16" s="6" t="s">
        <v>77</v>
      </c>
      <c r="D16" s="5" t="s">
        <v>151</v>
      </c>
      <c r="E16" s="9" t="s">
        <v>138</v>
      </c>
      <c r="F16" s="5" t="s">
        <v>133</v>
      </c>
    </row>
    <row r="17" customFormat="false" ht="35.05" hidden="false" customHeight="false" outlineLevel="0" collapsed="false">
      <c r="A17" s="5" t="n">
        <v>16</v>
      </c>
      <c r="B17" s="5" t="s">
        <v>80</v>
      </c>
      <c r="C17" s="6" t="s">
        <v>81</v>
      </c>
      <c r="D17" s="5" t="s">
        <v>152</v>
      </c>
      <c r="E17" s="8" t="s">
        <v>135</v>
      </c>
      <c r="F17" s="5" t="s">
        <v>141</v>
      </c>
    </row>
    <row r="18" customFormat="false" ht="23.85" hidden="false" customHeight="false" outlineLevel="0" collapsed="false">
      <c r="A18" s="5" t="n">
        <v>17</v>
      </c>
      <c r="B18" s="5" t="s">
        <v>80</v>
      </c>
      <c r="C18" s="6" t="s">
        <v>84</v>
      </c>
      <c r="D18" s="5" t="s">
        <v>153</v>
      </c>
      <c r="E18" s="8" t="s">
        <v>135</v>
      </c>
      <c r="F18" s="5" t="s">
        <v>141</v>
      </c>
    </row>
    <row r="19" customFormat="false" ht="23.85" hidden="false" customHeight="false" outlineLevel="0" collapsed="false">
      <c r="A19" s="5" t="n">
        <v>18</v>
      </c>
      <c r="B19" s="5" t="s">
        <v>80</v>
      </c>
      <c r="C19" s="6" t="s">
        <v>87</v>
      </c>
      <c r="D19" s="5" t="s">
        <v>154</v>
      </c>
      <c r="E19" s="7" t="s">
        <v>130</v>
      </c>
      <c r="F19" s="5" t="s">
        <v>131</v>
      </c>
    </row>
    <row r="20" customFormat="false" ht="23.85" hidden="false" customHeight="false" outlineLevel="0" collapsed="false">
      <c r="A20" s="5" t="n">
        <v>19</v>
      </c>
      <c r="B20" s="5" t="s">
        <v>80</v>
      </c>
      <c r="C20" s="6" t="s">
        <v>90</v>
      </c>
      <c r="D20" s="5" t="s">
        <v>155</v>
      </c>
      <c r="E20" s="7" t="s">
        <v>130</v>
      </c>
      <c r="F20" s="5" t="s">
        <v>131</v>
      </c>
    </row>
    <row r="21" customFormat="false" ht="35.05" hidden="false" customHeight="false" outlineLevel="0" collapsed="false">
      <c r="A21" s="5" t="n">
        <v>20</v>
      </c>
      <c r="B21" s="5" t="s">
        <v>93</v>
      </c>
      <c r="C21" s="6" t="s">
        <v>94</v>
      </c>
      <c r="D21" s="5" t="s">
        <v>156</v>
      </c>
      <c r="E21" s="8" t="s">
        <v>135</v>
      </c>
      <c r="F21" s="5" t="s">
        <v>131</v>
      </c>
    </row>
    <row r="22" customFormat="false" ht="23.85" hidden="false" customHeight="false" outlineLevel="0" collapsed="false">
      <c r="A22" s="5" t="n">
        <v>21</v>
      </c>
      <c r="B22" s="5" t="s">
        <v>93</v>
      </c>
      <c r="C22" s="6" t="s">
        <v>97</v>
      </c>
      <c r="D22" s="5" t="s">
        <v>157</v>
      </c>
      <c r="E22" s="7" t="s">
        <v>130</v>
      </c>
      <c r="F22" s="5" t="s">
        <v>131</v>
      </c>
    </row>
    <row r="23" customFormat="false" ht="35.05" hidden="false" customHeight="false" outlineLevel="0" collapsed="false">
      <c r="A23" s="5" t="n">
        <v>22</v>
      </c>
      <c r="B23" s="5" t="s">
        <v>93</v>
      </c>
      <c r="C23" s="6" t="s">
        <v>100</v>
      </c>
      <c r="D23" s="5" t="s">
        <v>158</v>
      </c>
      <c r="E23" s="8" t="s">
        <v>135</v>
      </c>
      <c r="F23" s="5" t="s">
        <v>131</v>
      </c>
    </row>
    <row r="24" customFormat="false" ht="35.05" hidden="false" customHeight="false" outlineLevel="0" collapsed="false">
      <c r="A24" s="5" t="n">
        <v>23</v>
      </c>
      <c r="B24" s="5" t="s">
        <v>93</v>
      </c>
      <c r="C24" s="6" t="s">
        <v>103</v>
      </c>
      <c r="D24" s="5" t="s">
        <v>159</v>
      </c>
      <c r="E24" s="7" t="s">
        <v>130</v>
      </c>
      <c r="F24" s="5" t="s">
        <v>131</v>
      </c>
    </row>
    <row r="25" customFormat="false" ht="35.05" hidden="false" customHeight="false" outlineLevel="0" collapsed="false">
      <c r="A25" s="5" t="n">
        <v>24</v>
      </c>
      <c r="B25" s="5" t="s">
        <v>106</v>
      </c>
      <c r="C25" s="6" t="s">
        <v>107</v>
      </c>
      <c r="D25" s="5" t="s">
        <v>160</v>
      </c>
      <c r="E25" s="7" t="s">
        <v>130</v>
      </c>
      <c r="F25" s="5" t="s">
        <v>147</v>
      </c>
    </row>
    <row r="26" customFormat="false" ht="35.05" hidden="false" customHeight="false" outlineLevel="0" collapsed="false">
      <c r="A26" s="5" t="n">
        <v>25</v>
      </c>
      <c r="B26" s="5" t="s">
        <v>106</v>
      </c>
      <c r="C26" s="6" t="s">
        <v>110</v>
      </c>
      <c r="D26" s="5" t="s">
        <v>161</v>
      </c>
      <c r="E26" s="7" t="s">
        <v>130</v>
      </c>
      <c r="F26" s="5" t="s">
        <v>141</v>
      </c>
    </row>
    <row r="27" customFormat="false" ht="35.05" hidden="false" customHeight="false" outlineLevel="0" collapsed="false">
      <c r="A27" s="5" t="n">
        <v>26</v>
      </c>
      <c r="B27" s="5" t="s">
        <v>106</v>
      </c>
      <c r="C27" s="6" t="s">
        <v>113</v>
      </c>
      <c r="D27" s="5" t="s">
        <v>162</v>
      </c>
      <c r="E27" s="9" t="s">
        <v>138</v>
      </c>
      <c r="F27" s="5" t="s">
        <v>131</v>
      </c>
    </row>
    <row r="28" customFormat="false" ht="23.85" hidden="false" customHeight="false" outlineLevel="0" collapsed="false">
      <c r="A28" s="5" t="n">
        <v>27</v>
      </c>
      <c r="B28" s="5" t="s">
        <v>116</v>
      </c>
      <c r="C28" s="6" t="s">
        <v>117</v>
      </c>
      <c r="D28" s="5" t="s">
        <v>163</v>
      </c>
      <c r="E28" s="8" t="s">
        <v>135</v>
      </c>
      <c r="F28" s="5" t="s">
        <v>141</v>
      </c>
    </row>
    <row r="29" customFormat="false" ht="23.85" hidden="false" customHeight="false" outlineLevel="0" collapsed="false">
      <c r="A29" s="5" t="n">
        <v>28</v>
      </c>
      <c r="B29" s="5" t="s">
        <v>116</v>
      </c>
      <c r="C29" s="6" t="s">
        <v>120</v>
      </c>
      <c r="D29" s="5" t="s">
        <v>164</v>
      </c>
      <c r="E29" s="10" t="s">
        <v>149</v>
      </c>
      <c r="F29" s="5" t="s">
        <v>147</v>
      </c>
    </row>
    <row r="30" customFormat="false" ht="23.85" hidden="false" customHeight="false" outlineLevel="0" collapsed="false">
      <c r="A30" s="5" t="n">
        <v>29</v>
      </c>
      <c r="B30" s="5" t="s">
        <v>116</v>
      </c>
      <c r="C30" s="6" t="s">
        <v>123</v>
      </c>
      <c r="D30" s="5" t="s">
        <v>165</v>
      </c>
      <c r="E30" s="8" t="s">
        <v>135</v>
      </c>
      <c r="F30" s="5" t="s">
        <v>147</v>
      </c>
    </row>
    <row r="32" customFormat="false" ht="15" hidden="false" customHeight="false" outlineLevel="0" collapsed="false">
      <c r="B32" s="11" t="s">
        <v>166</v>
      </c>
      <c r="C32" s="12" t="s">
        <v>138</v>
      </c>
      <c r="D32" s="12" t="n">
        <f aca="false">COUNTIF(E2:E30,"High")</f>
        <v>4</v>
      </c>
    </row>
    <row r="33" customFormat="false" ht="15" hidden="false" customHeight="false" outlineLevel="0" collapsed="false">
      <c r="C33" s="12" t="s">
        <v>130</v>
      </c>
      <c r="D33" s="12" t="n">
        <f aca="false">COUNTIF(E2:E30,"Medium")</f>
        <v>14</v>
      </c>
    </row>
    <row r="34" customFormat="false" ht="15" hidden="false" customHeight="false" outlineLevel="0" collapsed="false">
      <c r="C34" s="12" t="s">
        <v>135</v>
      </c>
      <c r="D34" s="12" t="n">
        <f aca="false">COUNTIF(E2:E30,"Low")</f>
        <v>9</v>
      </c>
    </row>
    <row r="35" customFormat="false" ht="15" hidden="false" customHeight="false" outlineLevel="0" collapsed="false">
      <c r="C35" s="12" t="s">
        <v>167</v>
      </c>
      <c r="D35" s="12" t="n">
        <f aca="false">COUNTIF(E2:E30,"TBD")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44"/>
    <col collapsed="false" customWidth="true" hidden="false" outlineLevel="0" max="5" min="4" style="0" width="34"/>
  </cols>
  <sheetData>
    <row r="1" customFormat="false" ht="19.5" hidden="false" customHeight="true" outlineLevel="0" collapsed="false">
      <c r="A1" s="4" t="s">
        <v>28</v>
      </c>
      <c r="B1" s="4" t="s">
        <v>29</v>
      </c>
      <c r="C1" s="4" t="s">
        <v>168</v>
      </c>
      <c r="D1" s="4" t="s">
        <v>169</v>
      </c>
      <c r="E1" s="4" t="s">
        <v>170</v>
      </c>
    </row>
    <row r="2" customFormat="false" ht="23.85" hidden="false" customHeight="false" outlineLevel="0" collapsed="false">
      <c r="A2" s="5" t="s">
        <v>32</v>
      </c>
      <c r="B2" s="6" t="s">
        <v>33</v>
      </c>
      <c r="C2" s="5" t="s">
        <v>129</v>
      </c>
      <c r="D2" s="5"/>
      <c r="E2" s="5"/>
    </row>
    <row r="3" customFormat="false" ht="35.05" hidden="false" customHeight="false" outlineLevel="0" collapsed="false">
      <c r="A3" s="5" t="s">
        <v>32</v>
      </c>
      <c r="B3" s="6" t="s">
        <v>36</v>
      </c>
      <c r="C3" s="5" t="s">
        <v>132</v>
      </c>
      <c r="D3" s="5"/>
      <c r="E3" s="5"/>
    </row>
    <row r="4" customFormat="false" ht="46.25" hidden="false" customHeight="false" outlineLevel="0" collapsed="false">
      <c r="A4" s="5" t="s">
        <v>32</v>
      </c>
      <c r="B4" s="6" t="s">
        <v>39</v>
      </c>
      <c r="C4" s="5" t="s">
        <v>134</v>
      </c>
      <c r="D4" s="5"/>
      <c r="E4" s="5"/>
    </row>
    <row r="5" customFormat="false" ht="46.25" hidden="false" customHeight="false" outlineLevel="0" collapsed="false">
      <c r="A5" s="5" t="s">
        <v>32</v>
      </c>
      <c r="B5" s="6" t="s">
        <v>42</v>
      </c>
      <c r="C5" s="5" t="s">
        <v>136</v>
      </c>
      <c r="D5" s="5"/>
      <c r="E5" s="5"/>
    </row>
    <row r="6" customFormat="false" ht="35.05" hidden="false" customHeight="false" outlineLevel="0" collapsed="false">
      <c r="A6" s="5" t="s">
        <v>32</v>
      </c>
      <c r="B6" s="6" t="s">
        <v>45</v>
      </c>
      <c r="C6" s="5" t="s">
        <v>137</v>
      </c>
      <c r="D6" s="5"/>
      <c r="E6" s="5"/>
    </row>
    <row r="7" customFormat="false" ht="46.25" hidden="false" customHeight="false" outlineLevel="0" collapsed="false">
      <c r="A7" s="5" t="s">
        <v>32</v>
      </c>
      <c r="B7" s="6" t="s">
        <v>48</v>
      </c>
      <c r="C7" s="5" t="s">
        <v>139</v>
      </c>
      <c r="D7" s="5"/>
      <c r="E7" s="5"/>
    </row>
    <row r="8" customFormat="false" ht="35.05" hidden="false" customHeight="false" outlineLevel="0" collapsed="false">
      <c r="A8" s="5" t="s">
        <v>51</v>
      </c>
      <c r="B8" s="6" t="s">
        <v>52</v>
      </c>
      <c r="C8" s="5" t="s">
        <v>140</v>
      </c>
      <c r="D8" s="5"/>
      <c r="E8" s="5"/>
    </row>
    <row r="9" customFormat="false" ht="46.25" hidden="false" customHeight="false" outlineLevel="0" collapsed="false">
      <c r="A9" s="5" t="s">
        <v>51</v>
      </c>
      <c r="B9" s="6" t="s">
        <v>55</v>
      </c>
      <c r="C9" s="5" t="s">
        <v>142</v>
      </c>
      <c r="D9" s="5"/>
      <c r="E9" s="5"/>
    </row>
    <row r="10" customFormat="false" ht="35.05" hidden="false" customHeight="false" outlineLevel="0" collapsed="false">
      <c r="A10" s="5" t="s">
        <v>51</v>
      </c>
      <c r="B10" s="6" t="s">
        <v>58</v>
      </c>
      <c r="C10" s="5" t="s">
        <v>143</v>
      </c>
      <c r="D10" s="5"/>
      <c r="E10" s="5"/>
    </row>
    <row r="11" customFormat="false" ht="35.05" hidden="false" customHeight="false" outlineLevel="0" collapsed="false">
      <c r="A11" s="5" t="s">
        <v>51</v>
      </c>
      <c r="B11" s="6" t="s">
        <v>61</v>
      </c>
      <c r="C11" s="5" t="s">
        <v>144</v>
      </c>
      <c r="D11" s="5"/>
      <c r="E11" s="5"/>
    </row>
    <row r="12" customFormat="false" ht="35.05" hidden="false" customHeight="false" outlineLevel="0" collapsed="false">
      <c r="A12" s="5" t="s">
        <v>64</v>
      </c>
      <c r="B12" s="6" t="s">
        <v>65</v>
      </c>
      <c r="C12" s="5" t="s">
        <v>145</v>
      </c>
      <c r="D12" s="5"/>
      <c r="E12" s="5"/>
    </row>
    <row r="13" customFormat="false" ht="35.05" hidden="false" customHeight="false" outlineLevel="0" collapsed="false">
      <c r="A13" s="5" t="s">
        <v>64</v>
      </c>
      <c r="B13" s="6" t="s">
        <v>68</v>
      </c>
      <c r="C13" s="5" t="s">
        <v>146</v>
      </c>
      <c r="D13" s="5"/>
      <c r="E13" s="5"/>
    </row>
    <row r="14" customFormat="false" ht="46.25" hidden="false" customHeight="false" outlineLevel="0" collapsed="false">
      <c r="A14" s="5" t="s">
        <v>64</v>
      </c>
      <c r="B14" s="6" t="s">
        <v>71</v>
      </c>
      <c r="C14" s="5" t="s">
        <v>148</v>
      </c>
      <c r="D14" s="5"/>
      <c r="E14" s="5"/>
    </row>
    <row r="15" customFormat="false" ht="35.05" hidden="false" customHeight="false" outlineLevel="0" collapsed="false">
      <c r="A15" s="5" t="s">
        <v>64</v>
      </c>
      <c r="B15" s="6" t="s">
        <v>74</v>
      </c>
      <c r="C15" s="5" t="s">
        <v>150</v>
      </c>
      <c r="D15" s="5"/>
      <c r="E15" s="5"/>
    </row>
    <row r="16" customFormat="false" ht="57.45" hidden="false" customHeight="false" outlineLevel="0" collapsed="false">
      <c r="A16" s="5" t="s">
        <v>64</v>
      </c>
      <c r="B16" s="6" t="s">
        <v>77</v>
      </c>
      <c r="C16" s="5" t="s">
        <v>151</v>
      </c>
      <c r="D16" s="5"/>
      <c r="E16" s="5"/>
    </row>
    <row r="17" customFormat="false" ht="46.25" hidden="false" customHeight="false" outlineLevel="0" collapsed="false">
      <c r="A17" s="5" t="s">
        <v>80</v>
      </c>
      <c r="B17" s="6" t="s">
        <v>81</v>
      </c>
      <c r="C17" s="5" t="s">
        <v>152</v>
      </c>
      <c r="D17" s="5"/>
      <c r="E17" s="5"/>
    </row>
    <row r="18" customFormat="false" ht="35.05" hidden="false" customHeight="false" outlineLevel="0" collapsed="false">
      <c r="A18" s="5" t="s">
        <v>80</v>
      </c>
      <c r="B18" s="6" t="s">
        <v>84</v>
      </c>
      <c r="C18" s="5" t="s">
        <v>153</v>
      </c>
      <c r="D18" s="5"/>
      <c r="E18" s="5"/>
    </row>
    <row r="19" customFormat="false" ht="23.85" hidden="false" customHeight="false" outlineLevel="0" collapsed="false">
      <c r="A19" s="5" t="s">
        <v>80</v>
      </c>
      <c r="B19" s="6" t="s">
        <v>87</v>
      </c>
      <c r="C19" s="5" t="s">
        <v>154</v>
      </c>
      <c r="D19" s="5"/>
      <c r="E19" s="5"/>
    </row>
    <row r="20" customFormat="false" ht="23.85" hidden="false" customHeight="false" outlineLevel="0" collapsed="false">
      <c r="A20" s="5" t="s">
        <v>80</v>
      </c>
      <c r="B20" s="6" t="s">
        <v>90</v>
      </c>
      <c r="C20" s="5" t="s">
        <v>155</v>
      </c>
      <c r="D20" s="5"/>
      <c r="E20" s="5"/>
    </row>
    <row r="21" customFormat="false" ht="46.25" hidden="false" customHeight="false" outlineLevel="0" collapsed="false">
      <c r="A21" s="5" t="s">
        <v>93</v>
      </c>
      <c r="B21" s="6" t="s">
        <v>94</v>
      </c>
      <c r="C21" s="5" t="s">
        <v>156</v>
      </c>
      <c r="D21" s="5"/>
      <c r="E21" s="5"/>
    </row>
    <row r="22" customFormat="false" ht="35.05" hidden="false" customHeight="false" outlineLevel="0" collapsed="false">
      <c r="A22" s="5" t="s">
        <v>93</v>
      </c>
      <c r="B22" s="6" t="s">
        <v>97</v>
      </c>
      <c r="C22" s="5" t="s">
        <v>157</v>
      </c>
      <c r="D22" s="5"/>
      <c r="E22" s="5"/>
    </row>
    <row r="23" customFormat="false" ht="35.05" hidden="false" customHeight="false" outlineLevel="0" collapsed="false">
      <c r="A23" s="5" t="s">
        <v>93</v>
      </c>
      <c r="B23" s="6" t="s">
        <v>100</v>
      </c>
      <c r="C23" s="5" t="s">
        <v>158</v>
      </c>
      <c r="D23" s="5"/>
      <c r="E23" s="5"/>
    </row>
    <row r="24" customFormat="false" ht="46.25" hidden="false" customHeight="false" outlineLevel="0" collapsed="false">
      <c r="A24" s="5" t="s">
        <v>93</v>
      </c>
      <c r="B24" s="6" t="s">
        <v>103</v>
      </c>
      <c r="C24" s="5" t="s">
        <v>159</v>
      </c>
      <c r="D24" s="5"/>
      <c r="E24" s="5"/>
    </row>
    <row r="25" customFormat="false" ht="35.05" hidden="false" customHeight="false" outlineLevel="0" collapsed="false">
      <c r="A25" s="5" t="s">
        <v>106</v>
      </c>
      <c r="B25" s="6" t="s">
        <v>107</v>
      </c>
      <c r="C25" s="5" t="s">
        <v>160</v>
      </c>
      <c r="D25" s="5"/>
      <c r="E25" s="5"/>
    </row>
    <row r="26" customFormat="false" ht="46.25" hidden="false" customHeight="false" outlineLevel="0" collapsed="false">
      <c r="A26" s="5" t="s">
        <v>106</v>
      </c>
      <c r="B26" s="6" t="s">
        <v>110</v>
      </c>
      <c r="C26" s="5" t="s">
        <v>161</v>
      </c>
      <c r="D26" s="5"/>
      <c r="E26" s="5"/>
    </row>
    <row r="27" customFormat="false" ht="35.05" hidden="false" customHeight="false" outlineLevel="0" collapsed="false">
      <c r="A27" s="5" t="s">
        <v>106</v>
      </c>
      <c r="B27" s="6" t="s">
        <v>113</v>
      </c>
      <c r="C27" s="5" t="s">
        <v>162</v>
      </c>
      <c r="D27" s="5"/>
      <c r="E27" s="5"/>
    </row>
    <row r="28" customFormat="false" ht="35.05" hidden="false" customHeight="false" outlineLevel="0" collapsed="false">
      <c r="A28" s="5" t="s">
        <v>116</v>
      </c>
      <c r="B28" s="6" t="s">
        <v>117</v>
      </c>
      <c r="C28" s="5" t="s">
        <v>163</v>
      </c>
      <c r="D28" s="5"/>
      <c r="E28" s="5"/>
    </row>
    <row r="29" customFormat="false" ht="23.85" hidden="false" customHeight="false" outlineLevel="0" collapsed="false">
      <c r="A29" s="5" t="s">
        <v>116</v>
      </c>
      <c r="B29" s="6" t="s">
        <v>120</v>
      </c>
      <c r="C29" s="5" t="s">
        <v>164</v>
      </c>
      <c r="D29" s="5"/>
      <c r="E29" s="5"/>
    </row>
    <row r="30" customFormat="false" ht="35.05" hidden="false" customHeight="false" outlineLevel="0" collapsed="false">
      <c r="A30" s="5" t="s">
        <v>116</v>
      </c>
      <c r="B30" s="6" t="s">
        <v>123</v>
      </c>
      <c r="C30" s="5" t="s">
        <v>165</v>
      </c>
      <c r="D30" s="5"/>
      <c r="E30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2026-08-17T08:16:43Z</dcterms:created>
  <dc:creator>openpyxl</dc:creator>
  <dc:description/>
  <dc:language>en-US</dc:language>
  <cp:lastModifiedBy/>
  <dcterms:modified xsi:type="dcterms:W3CDTF">2026-08-17T08:16:43Z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